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_Awork_all\_Awork53_05_STM32_Chargingdock\串口协议\"/>
    </mc:Choice>
  </mc:AlternateContent>
  <bookViews>
    <workbookView xWindow="-120" yWindow="-120" windowWidth="38640" windowHeight="21240" activeTab="1"/>
  </bookViews>
  <sheets>
    <sheet name="Charge data" sheetId="6" r:id="rId1"/>
    <sheet name="Sheet1" sheetId="13" r:id="rId2"/>
    <sheet name="time-old" sheetId="11" r:id="rId3"/>
    <sheet name="Responses" sheetId="3" state="hidden" r:id="rId4"/>
    <sheet name="Status" sheetId="4" state="hidden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1" l="1"/>
  <c r="H7" i="11"/>
</calcChain>
</file>

<file path=xl/sharedStrings.xml><?xml version="1.0" encoding="utf-8"?>
<sst xmlns="http://schemas.openxmlformats.org/spreadsheetml/2006/main" count="178" uniqueCount="100">
  <si>
    <t>[0]</t>
  </si>
  <si>
    <t>[1]</t>
  </si>
  <si>
    <t>[2]</t>
  </si>
  <si>
    <t>[5]</t>
  </si>
  <si>
    <t>[6]</t>
  </si>
  <si>
    <t>[3]</t>
  </si>
  <si>
    <t>[4]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</si>
  <si>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</si>
  <si>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</si>
  <si>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</si>
  <si>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</si>
  <si>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</si>
  <si>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</si>
  <si>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</si>
  <si>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</si>
  <si>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</si>
  <si>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</si>
  <si>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</si>
  <si>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</si>
  <si>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</si>
  <si>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True/False enabled</t>
  </si>
  <si>
    <t>Fade On Time</t>
  </si>
  <si>
    <t>Fade Off Time</t>
  </si>
  <si>
    <t>#define BLUEGIGA_RESPONSE_COMMAND_SEND_ON_SCHEDULE</t>
  </si>
  <si>
    <t>#define BLUEGIGA_RESPONSE_COMMAND_SEND_OFF_SCHEDULE</t>
  </si>
  <si>
    <t>#define BLUEGIGA_RESPONSE_COMMAND_SEND_FADE_TIMES</t>
  </si>
  <si>
    <t>#define BLUEGIGA_RESPONSE_COMMAND_SEND_NIGHTLIGHT</t>
  </si>
  <si>
    <t>on enable mask</t>
  </si>
  <si>
    <t>off enable mask</t>
  </si>
  <si>
    <t>Off Timers</t>
  </si>
  <si>
    <t>On Timers</t>
  </si>
  <si>
    <t>Status Packet</t>
  </si>
  <si>
    <t>Motor Speed (0-100)</t>
  </si>
  <si>
    <t>Motor Enabled</t>
  </si>
  <si>
    <t>Top LED Brightness (0-100)</t>
  </si>
  <si>
    <t>Bottom LED Brightness (0-100)</t>
  </si>
  <si>
    <t>Off Time (V1)</t>
  </si>
  <si>
    <t>Off Hour (V1)</t>
  </si>
  <si>
    <t>Off Minute (V1)</t>
  </si>
  <si>
    <t>Password Received (True/False)</t>
  </si>
  <si>
    <t>Time Sync Status</t>
  </si>
  <si>
    <t>Current Time</t>
  </si>
  <si>
    <t>Top LED nghtlight enabled</t>
  </si>
  <si>
    <t>Top LED level 1</t>
  </si>
  <si>
    <t>Top LED level 2</t>
  </si>
  <si>
    <t>Top LED Enabled by ap</t>
  </si>
  <si>
    <t>Item</t>
    <phoneticPr fontId="1" type="noConversion"/>
  </si>
  <si>
    <t>command</t>
    <phoneticPr fontId="1" type="noConversion"/>
  </si>
  <si>
    <t>description</t>
    <phoneticPr fontId="1" type="noConversion"/>
  </si>
  <si>
    <t xml:space="preserve">Command format: </t>
    <phoneticPr fontId="1" type="noConversion"/>
  </si>
  <si>
    <t>Ommocom uart commands</t>
    <phoneticPr fontId="1" type="noConversion"/>
  </si>
  <si>
    <t xml:space="preserve">Master flash data commands: </t>
    <phoneticPr fontId="1" type="noConversion"/>
  </si>
  <si>
    <t>Slave flash data response commands:</t>
    <phoneticPr fontId="1" type="noConversion"/>
  </si>
  <si>
    <t xml:space="preserve">Uart format: </t>
    <phoneticPr fontId="1" type="noConversion"/>
  </si>
  <si>
    <t xml:space="preserve">  Word Length:  8 Bits </t>
    <phoneticPr fontId="1" type="noConversion"/>
  </si>
  <si>
    <t xml:space="preserve">  Baud Rate:    1M Bits/s</t>
    <phoneticPr fontId="1" type="noConversion"/>
  </si>
  <si>
    <t xml:space="preserve">  Parity:       None</t>
    <phoneticPr fontId="1" type="noConversion"/>
  </si>
  <si>
    <t xml:space="preserve">  Stop Bits:    1</t>
    <phoneticPr fontId="1" type="noConversion"/>
  </si>
  <si>
    <t>description</t>
    <phoneticPr fontId="1" type="noConversion"/>
  </si>
  <si>
    <t xml:space="preserve">55 AA 03 C1 Addr Checksum </t>
    <phoneticPr fontId="1" type="noConversion"/>
  </si>
  <si>
    <r>
      <t xml:space="preserve">AA 55 03 D1 Addr Checksum  </t>
    </r>
    <r>
      <rPr>
        <sz val="11"/>
        <color rgb="FFFF0066"/>
        <rFont val="等线"/>
        <charset val="134"/>
        <scheme val="minor"/>
      </rPr>
      <t xml:space="preserve"> </t>
    </r>
    <phoneticPr fontId="1" type="noConversion"/>
  </si>
  <si>
    <t xml:space="preserve">    Header(2 Bytes) + len(1 Byte) + command (1 Byte) + Addr (1 Byte) + data (n Bytes) + Checksum(1 Byte) </t>
    <phoneticPr fontId="1" type="noConversion"/>
  </si>
  <si>
    <t>the communication time at keil(us):</t>
    <phoneticPr fontId="1" type="noConversion"/>
  </si>
  <si>
    <t>memset 0</t>
    <phoneticPr fontId="1" type="noConversion"/>
  </si>
  <si>
    <t>keil</t>
    <phoneticPr fontId="1" type="noConversion"/>
  </si>
  <si>
    <t>stm32cubeide</t>
    <phoneticPr fontId="1" type="noConversion"/>
  </si>
  <si>
    <t>Total</t>
    <phoneticPr fontId="1" type="noConversion"/>
  </si>
  <si>
    <t>Receive command</t>
    <phoneticPr fontId="1" type="noConversion"/>
  </si>
  <si>
    <t>read MMC0</t>
    <phoneticPr fontId="1" type="noConversion"/>
  </si>
  <si>
    <t>read MMC1</t>
    <phoneticPr fontId="1" type="noConversion"/>
  </si>
  <si>
    <t>read ICM0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</si>
  <si>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</si>
  <si>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</si>
  <si>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</si>
  <si>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</si>
  <si>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</si>
  <si>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f6</t>
    <phoneticPr fontId="1" type="noConversion"/>
  </si>
  <si>
    <t>Inform the slave to start charging</t>
    <phoneticPr fontId="1" type="noConversion"/>
  </si>
  <si>
    <t>Send 7 bytes data to config the charge chip</t>
    <phoneticPr fontId="1" type="noConversion"/>
  </si>
  <si>
    <t xml:space="preserve">55 AA 03 C3 Addr Checksum </t>
    <phoneticPr fontId="1" type="noConversion"/>
  </si>
  <si>
    <t>55 AA 0A C2 Addr data*7 Checksum</t>
    <phoneticPr fontId="1" type="noConversion"/>
  </si>
  <si>
    <t>Inform the slave to read the charge data</t>
    <phoneticPr fontId="1" type="noConversion"/>
  </si>
  <si>
    <t>Response master that have started to charge</t>
    <phoneticPr fontId="1" type="noConversion"/>
  </si>
  <si>
    <t>Response master that have configured the charge chip</t>
    <phoneticPr fontId="1" type="noConversion"/>
  </si>
  <si>
    <t>Response master that have readed the 9 bytes charge data to master</t>
    <phoneticPr fontId="1" type="noConversion"/>
  </si>
  <si>
    <t xml:space="preserve">AA 55 03 D2 Addr Checksum   </t>
    <phoneticPr fontId="1" type="noConversion"/>
  </si>
  <si>
    <t>AA 55 0C D2 Addr data*9 Checksum</t>
    <phoneticPr fontId="1" type="noConversion"/>
  </si>
  <si>
    <t xml:space="preserve">55 AA 03 C1 01 C4 </t>
    <phoneticPr fontId="1" type="noConversion"/>
  </si>
  <si>
    <r>
      <t xml:space="preserve">AA 55 03 D1 01 D4  </t>
    </r>
    <r>
      <rPr>
        <sz val="11"/>
        <color rgb="FFFF0066"/>
        <rFont val="等线"/>
        <charset val="134"/>
        <scheme val="minor"/>
      </rPr>
      <t xml:space="preserve"> </t>
    </r>
    <phoneticPr fontId="1" type="noConversion"/>
  </si>
  <si>
    <t>Inform the slave to open charging</t>
    <phoneticPr fontId="1" type="noConversion"/>
  </si>
  <si>
    <t>Inform the slave to close charging</t>
    <phoneticPr fontId="1" type="noConversion"/>
  </si>
  <si>
    <t xml:space="preserve">55 AA 03 C2 01 C5 </t>
    <phoneticPr fontId="1" type="noConversion"/>
  </si>
  <si>
    <r>
      <t xml:space="preserve">AA 55 03 D2 01 D5  </t>
    </r>
    <r>
      <rPr>
        <sz val="11"/>
        <color rgb="FFFF0066"/>
        <rFont val="等线"/>
        <charset val="134"/>
        <scheme val="minor"/>
      </rPr>
      <t xml:space="preserve"> </t>
    </r>
    <phoneticPr fontId="1" type="noConversion"/>
  </si>
  <si>
    <t>Response master that have opened charging</t>
    <phoneticPr fontId="1" type="noConversion"/>
  </si>
  <si>
    <t>Response master that have closed charging</t>
    <phoneticPr fontId="1" type="noConversion"/>
  </si>
  <si>
    <t>55 AA 0A C3 01 data*7 Checksum</t>
    <phoneticPr fontId="1" type="noConversion"/>
  </si>
  <si>
    <t xml:space="preserve">55 AA 03 C4 01 C7 </t>
    <phoneticPr fontId="1" type="noConversion"/>
  </si>
  <si>
    <t>AA 55 0C D2 01 data*9 Checksum</t>
    <phoneticPr fontId="1" type="noConversion"/>
  </si>
  <si>
    <t xml:space="preserve">AA 55 03 D3 01 D6  </t>
    <phoneticPr fontId="1" type="noConversion"/>
  </si>
  <si>
    <t>Response sensors'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</si>
</sst>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66"/>
      <name val="等线"/>
      <charset val="134"/>
      <scheme val="minor"/>
    </font>
    <font>
      <sz val="11"/>
      <color rgb="FFFF0066"/>
      <name val="等线"/>
      <family val="2"/>
      <scheme val="minor"/>
    </font>
    <font>
      <b/>
      <sz val="18"/>
      <color theme="8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0" xfId="0" applyFont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C31" sqref="C31"/>
    </sheetView>
  </sheetViews>
  <sheetFormatPr defaultRowHeight="13.5"/>
  <cols>
    <col min="1" max="1" width="7.5" style="4" customWidth="1"/>
    <col min="2" max="2" width="37.125" customWidth="1"/>
    <col min="3" max="3" width="68.5" customWidth="1"/>
    <col min="4" max="4" width="10" customWidth="1"/>
  </cols>
  <sheetData>
    <row r="1" spans="1:6" ht="22.5">
      <c r="A1" s="18" t="s">
        <v>50</v>
      </c>
      <c r="B1" s="18"/>
      <c r="C1" s="18"/>
      <c r="D1" s="8"/>
      <c r="E1" s="8"/>
      <c r="F1" s="6"/>
    </row>
    <row r="4" spans="1:6">
      <c r="A4" s="20" t="s">
        <v>53</v>
      </c>
      <c r="B4" s="20"/>
      <c r="C4" s="20"/>
      <c r="D4" s="9"/>
      <c r="E4" s="9"/>
      <c r="F4" s="9"/>
    </row>
    <row r="5" spans="1:6">
      <c r="A5" s="21" t="s">
        <v>55</v>
      </c>
      <c r="B5" s="21"/>
      <c r="C5" s="21"/>
      <c r="D5" s="6"/>
      <c r="E5" s="6"/>
      <c r="F5" s="6"/>
    </row>
    <row r="6" spans="1:6">
      <c r="A6" s="21" t="s">
        <v>54</v>
      </c>
      <c r="B6" s="21"/>
      <c r="C6" s="21"/>
      <c r="D6" s="6"/>
      <c r="E6" s="6"/>
      <c r="F6" s="6"/>
    </row>
    <row r="7" spans="1:6">
      <c r="A7" s="21" t="s">
        <v>56</v>
      </c>
      <c r="B7" s="21"/>
      <c r="C7" s="21"/>
      <c r="D7" s="6"/>
      <c r="E7" s="6"/>
      <c r="F7" s="6"/>
    </row>
    <row r="8" spans="1:6">
      <c r="A8" s="21" t="s">
        <v>57</v>
      </c>
      <c r="B8" s="21"/>
      <c r="C8" s="21"/>
      <c r="D8" s="6"/>
      <c r="E8" s="6"/>
      <c r="F8" s="6"/>
    </row>
    <row r="9" spans="1:6">
      <c r="A9" s="7"/>
    </row>
    <row r="10" spans="1:6">
      <c r="A10" s="7"/>
    </row>
    <row r="11" spans="1:6">
      <c r="A11" s="20" t="s">
        <v>49</v>
      </c>
      <c r="B11" s="20"/>
      <c r="C11" s="20"/>
      <c r="D11" s="9"/>
      <c r="E11" s="9"/>
      <c r="F11" s="9"/>
    </row>
    <row r="12" spans="1:6">
      <c r="A12" s="21" t="s">
        <v>61</v>
      </c>
      <c r="B12" s="21"/>
      <c r="C12" s="21"/>
      <c r="D12" s="6"/>
      <c r="E12" s="6"/>
      <c r="F12" s="6"/>
    </row>
    <row r="15" spans="1:6" ht="18" customHeight="1">
      <c r="A15" s="19" t="s">
        <v>51</v>
      </c>
      <c r="B15" s="19"/>
      <c r="C15" s="19"/>
    </row>
    <row r="16" spans="1:6" ht="18" customHeight="1">
      <c r="A16" s="5" t="s">
        <v>46</v>
      </c>
      <c r="B16" s="5" t="s">
        <v>47</v>
      </c>
      <c r="C16" s="5" t="s">
        <v>48</v>
      </c>
    </row>
    <row r="17" spans="1:3" ht="18" customHeight="1">
      <c r="A17" s="5">
        <v>1</v>
      </c>
      <c r="B17" s="1" t="s">
        <v>59</v>
      </c>
      <c r="C17" s="1" t="s">
        <v>77</v>
      </c>
    </row>
    <row r="18" spans="1:3" ht="18" customHeight="1">
      <c r="A18" s="14">
        <v>2</v>
      </c>
      <c r="B18" s="15" t="s">
        <v>80</v>
      </c>
      <c r="C18" s="15" t="s">
        <v>78</v>
      </c>
    </row>
    <row r="19" spans="1:3" ht="18" customHeight="1">
      <c r="A19" s="14">
        <v>3</v>
      </c>
      <c r="B19" s="1" t="s">
        <v>79</v>
      </c>
      <c r="C19" s="1" t="s">
        <v>81</v>
      </c>
    </row>
    <row r="20" spans="1:3" ht="18" customHeight="1"/>
    <row r="21" spans="1:3" ht="18" customHeight="1"/>
    <row r="22" spans="1:3" ht="18" customHeight="1"/>
    <row r="23" spans="1:3" ht="18" customHeight="1">
      <c r="A23" s="19" t="s">
        <v>52</v>
      </c>
      <c r="B23" s="19"/>
      <c r="C23" s="19"/>
    </row>
    <row r="24" spans="1:3" ht="18" customHeight="1">
      <c r="A24" s="5" t="s">
        <v>46</v>
      </c>
      <c r="B24" s="5" t="s">
        <v>47</v>
      </c>
      <c r="C24" s="5" t="s">
        <v>58</v>
      </c>
    </row>
    <row r="25" spans="1:3" ht="18" customHeight="1">
      <c r="A25" s="5">
        <v>1</v>
      </c>
      <c r="B25" s="1" t="s">
        <v>60</v>
      </c>
      <c r="C25" s="1" t="s">
        <v>82</v>
      </c>
    </row>
    <row r="26" spans="1:3" ht="18" customHeight="1">
      <c r="A26" s="14">
        <v>2</v>
      </c>
      <c r="B26" s="15" t="s">
        <v>85</v>
      </c>
      <c r="C26" s="15" t="s">
        <v>83</v>
      </c>
    </row>
    <row r="27" spans="1:3" ht="18" customHeight="1">
      <c r="A27" s="14">
        <v>3</v>
      </c>
      <c r="B27" s="15" t="s">
        <v>86</v>
      </c>
      <c r="C27" s="15" t="s">
        <v>84</v>
      </c>
    </row>
  </sheetData>
  <mergeCells count="10">
    <mergeCell ref="A1:C1"/>
    <mergeCell ref="A15:C15"/>
    <mergeCell ref="A23:C23"/>
    <mergeCell ref="A11:C11"/>
    <mergeCell ref="A4:C4"/>
    <mergeCell ref="A5:C5"/>
    <mergeCell ref="A6:C6"/>
    <mergeCell ref="A7:C7"/>
    <mergeCell ref="A8:C8"/>
    <mergeCell ref="A12:C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3" workbookViewId="0">
      <selection activeCell="B32" sqref="B32"/>
    </sheetView>
  </sheetViews>
  <sheetFormatPr defaultRowHeight="13.5"/>
  <cols>
    <col min="1" max="1" width="7.5" style="16" customWidth="1"/>
    <col min="2" max="2" width="37.125" customWidth="1"/>
    <col min="3" max="3" width="68.5" customWidth="1"/>
    <col min="4" max="4" width="10" customWidth="1"/>
  </cols>
  <sheetData>
    <row r="1" spans="1:6" ht="22.5">
      <c r="A1" s="18" t="s">
        <v>50</v>
      </c>
      <c r="B1" s="18"/>
      <c r="C1" s="18"/>
      <c r="D1" s="8"/>
      <c r="E1" s="8"/>
      <c r="F1" s="6"/>
    </row>
    <row r="4" spans="1:6">
      <c r="A4" s="20" t="s">
        <v>53</v>
      </c>
      <c r="B4" s="20"/>
      <c r="C4" s="20"/>
      <c r="D4" s="9"/>
      <c r="E4" s="9"/>
      <c r="F4" s="9"/>
    </row>
    <row r="5" spans="1:6">
      <c r="A5" s="21" t="s">
        <v>55</v>
      </c>
      <c r="B5" s="21"/>
      <c r="C5" s="21"/>
      <c r="D5" s="6"/>
      <c r="E5" s="6"/>
      <c r="F5" s="6"/>
    </row>
    <row r="6" spans="1:6">
      <c r="A6" s="21" t="s">
        <v>54</v>
      </c>
      <c r="B6" s="21"/>
      <c r="C6" s="21"/>
      <c r="D6" s="6"/>
      <c r="E6" s="6"/>
      <c r="F6" s="6"/>
    </row>
    <row r="7" spans="1:6">
      <c r="A7" s="21" t="s">
        <v>56</v>
      </c>
      <c r="B7" s="21"/>
      <c r="C7" s="21"/>
      <c r="D7" s="6"/>
      <c r="E7" s="6"/>
      <c r="F7" s="6"/>
    </row>
    <row r="8" spans="1:6">
      <c r="A8" s="21" t="s">
        <v>57</v>
      </c>
      <c r="B8" s="21"/>
      <c r="C8" s="21"/>
      <c r="D8" s="6"/>
      <c r="E8" s="6"/>
      <c r="F8" s="6"/>
    </row>
    <row r="11" spans="1:6">
      <c r="A11" s="20" t="s">
        <v>49</v>
      </c>
      <c r="B11" s="20"/>
      <c r="C11" s="20"/>
      <c r="D11" s="9"/>
      <c r="E11" s="9"/>
      <c r="F11" s="9"/>
    </row>
    <row r="12" spans="1:6">
      <c r="A12" s="21" t="s">
        <v>61</v>
      </c>
      <c r="B12" s="21"/>
      <c r="C12" s="21"/>
      <c r="D12" s="6"/>
      <c r="E12" s="6"/>
      <c r="F12" s="6"/>
    </row>
    <row r="15" spans="1:6" ht="18" customHeight="1">
      <c r="A15" s="19" t="s">
        <v>51</v>
      </c>
      <c r="B15" s="19"/>
      <c r="C15" s="19"/>
    </row>
    <row r="16" spans="1:6" ht="18" customHeight="1">
      <c r="A16" s="17" t="s">
        <v>46</v>
      </c>
      <c r="B16" s="17" t="s">
        <v>47</v>
      </c>
      <c r="C16" s="17" t="s">
        <v>48</v>
      </c>
    </row>
    <row r="17" spans="1:3" ht="18" customHeight="1">
      <c r="A17" s="17">
        <v>1</v>
      </c>
      <c r="B17" s="1" t="s">
        <v>87</v>
      </c>
      <c r="C17" s="1" t="s">
        <v>89</v>
      </c>
    </row>
    <row r="18" spans="1:3" ht="18" customHeight="1">
      <c r="A18" s="17">
        <v>1</v>
      </c>
      <c r="B18" s="1" t="s">
        <v>91</v>
      </c>
      <c r="C18" s="1" t="s">
        <v>90</v>
      </c>
    </row>
    <row r="19" spans="1:3" ht="18" customHeight="1">
      <c r="A19" s="14">
        <v>2</v>
      </c>
      <c r="B19" s="15" t="s">
        <v>95</v>
      </c>
      <c r="C19" s="15" t="s">
        <v>78</v>
      </c>
    </row>
    <row r="20" spans="1:3" ht="18" customHeight="1">
      <c r="A20" s="14">
        <v>3</v>
      </c>
      <c r="B20" s="1" t="s">
        <v>96</v>
      </c>
      <c r="C20" s="1" t="s">
        <v>81</v>
      </c>
    </row>
    <row r="21" spans="1:3" ht="18" customHeight="1"/>
    <row r="22" spans="1:3" ht="18" customHeight="1"/>
    <row r="23" spans="1:3" ht="18" customHeight="1"/>
    <row r="24" spans="1:3" ht="18" customHeight="1">
      <c r="A24" s="19" t="s">
        <v>52</v>
      </c>
      <c r="B24" s="19"/>
      <c r="C24" s="19"/>
    </row>
    <row r="25" spans="1:3" ht="18" customHeight="1">
      <c r="A25" s="17" t="s">
        <v>46</v>
      </c>
      <c r="B25" s="17" t="s">
        <v>47</v>
      </c>
      <c r="C25" s="17" t="s">
        <v>48</v>
      </c>
    </row>
    <row r="26" spans="1:3" ht="18" customHeight="1">
      <c r="A26" s="17">
        <v>1</v>
      </c>
      <c r="B26" s="1" t="s">
        <v>88</v>
      </c>
      <c r="C26" s="1" t="s">
        <v>93</v>
      </c>
    </row>
    <row r="27" spans="1:3" ht="18" customHeight="1">
      <c r="A27" s="17">
        <v>1</v>
      </c>
      <c r="B27" s="1" t="s">
        <v>92</v>
      </c>
      <c r="C27" s="1" t="s">
        <v>94</v>
      </c>
    </row>
    <row r="28" spans="1:3" ht="18" customHeight="1">
      <c r="A28" s="14">
        <v>2</v>
      </c>
      <c r="B28" s="15" t="s">
        <v>98</v>
      </c>
      <c r="C28" s="15" t="s">
        <v>83</v>
      </c>
    </row>
    <row r="29" spans="1:3" ht="18" customHeight="1">
      <c r="A29" s="14">
        <v>3</v>
      </c>
      <c r="B29" s="15" t="s">
        <v>97</v>
      </c>
      <c r="C29" s="15" t="s">
        <v>84</v>
      </c>
    </row>
  </sheetData>
  <mergeCells count="10">
    <mergeCell ref="A11:C11"/>
    <mergeCell ref="A12:C12"/>
    <mergeCell ref="A15:C15"/>
    <mergeCell ref="A24:C24"/>
    <mergeCell ref="A1:C1"/>
    <mergeCell ref="A4:C4"/>
    <mergeCell ref="A5:C5"/>
    <mergeCell ref="A6:C6"/>
    <mergeCell ref="A7:C7"/>
    <mergeCell ref="A8:C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2"/>
  <sheetViews>
    <sheetView workbookViewId="0">
      <selection activeCell="H16" sqref="H16"/>
    </sheetView>
  </sheetViews>
  <sheetFormatPr defaultRowHeight="13.5"/>
  <cols>
    <col min="1" max="1" width="14.125" customWidth="1"/>
    <col min="2" max="2" width="19" customWidth="1"/>
    <col min="3" max="6" width="10" customWidth="1"/>
    <col min="7" max="7" width="24.125" customWidth="1"/>
  </cols>
  <sheetData>
    <row r="5" spans="1:11">
      <c r="A5" t="s">
        <v>62</v>
      </c>
    </row>
    <row r="6" spans="1:11">
      <c r="A6" s="1"/>
      <c r="B6" s="10" t="s">
        <v>67</v>
      </c>
      <c r="C6" s="10" t="s">
        <v>63</v>
      </c>
      <c r="D6" s="10" t="s">
        <v>68</v>
      </c>
      <c r="E6" s="10" t="s">
        <v>69</v>
      </c>
      <c r="F6" s="10" t="s">
        <v>70</v>
      </c>
      <c r="G6" s="10" t="s">
        <v>99</v>
      </c>
      <c r="H6" s="11" t="s">
        <v>66</v>
      </c>
    </row>
    <row r="7" spans="1:11">
      <c r="A7" s="1" t="s">
        <v>64</v>
      </c>
      <c r="B7" s="1">
        <v>55.6</v>
      </c>
      <c r="C7" s="1">
        <v>0.432</v>
      </c>
      <c r="D7" s="1">
        <v>24</v>
      </c>
      <c r="E7" s="1">
        <v>24</v>
      </c>
      <c r="F7" s="1">
        <v>28.8</v>
      </c>
      <c r="G7" s="1">
        <v>352</v>
      </c>
      <c r="H7" s="1">
        <f>SUM(B7:G7)</f>
        <v>484.83199999999999</v>
      </c>
    </row>
    <row r="8" spans="1:11">
      <c r="A8" s="1" t="s">
        <v>65</v>
      </c>
      <c r="B8" s="1">
        <v>56.8</v>
      </c>
      <c r="C8" s="1">
        <v>5.04</v>
      </c>
      <c r="D8" s="1">
        <v>30.8</v>
      </c>
      <c r="E8" s="1">
        <v>30.4</v>
      </c>
      <c r="F8" s="1">
        <v>36.799999999999997</v>
      </c>
      <c r="G8" s="1">
        <v>396</v>
      </c>
      <c r="H8" s="1">
        <f>SUM(B8:G8)</f>
        <v>555.83999999999992</v>
      </c>
    </row>
    <row r="9" spans="1:11">
      <c r="B9" s="12" t="s">
        <v>71</v>
      </c>
      <c r="C9" s="12" t="s">
        <v>72</v>
      </c>
      <c r="D9" s="12" t="s">
        <v>73</v>
      </c>
      <c r="E9" s="12" t="s">
        <v>74</v>
      </c>
      <c r="F9" s="12" t="s">
        <v>75</v>
      </c>
      <c r="G9" s="12" t="s">
        <v>76</v>
      </c>
    </row>
    <row r="11" spans="1:11" ht="12.75" customHeight="1"/>
    <row r="12" spans="1:11">
      <c r="K12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9"/>
  <sheetViews>
    <sheetView topLeftCell="C9" workbookViewId="0">
      <selection activeCell="B2" sqref="B2:V3"/>
    </sheetView>
  </sheetViews>
  <sheetFormatPr defaultRowHeight="13.5"/>
  <cols>
    <col min="2" max="2" width="59.875" bestFit="1" customWidth="1"/>
    <col min="4" max="4" width="18.375" bestFit="1" customWidth="1"/>
  </cols>
  <sheetData>
    <row r="2" spans="2:22">
      <c r="C2" s="1" t="s">
        <v>0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2:22">
      <c r="B3" t="s">
        <v>23</v>
      </c>
      <c r="C3" s="1">
        <v>1</v>
      </c>
      <c r="D3" s="1" t="s">
        <v>27</v>
      </c>
      <c r="E3" s="22" t="s">
        <v>30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"/>
      <c r="V3" s="2"/>
    </row>
    <row r="4" spans="2:22">
      <c r="B4" t="s">
        <v>24</v>
      </c>
      <c r="C4" s="1">
        <v>2</v>
      </c>
      <c r="D4" s="1" t="s">
        <v>28</v>
      </c>
      <c r="E4" s="22" t="s">
        <v>29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3"/>
      <c r="V4" s="3"/>
    </row>
    <row r="5" spans="2:22">
      <c r="B5" t="s">
        <v>25</v>
      </c>
      <c r="C5" s="1">
        <v>3</v>
      </c>
      <c r="D5" s="1" t="s">
        <v>20</v>
      </c>
      <c r="E5" s="22" t="s">
        <v>21</v>
      </c>
      <c r="F5" s="22"/>
      <c r="G5" s="22"/>
      <c r="H5" s="2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>
      <c r="B6" t="s">
        <v>26</v>
      </c>
      <c r="C6" s="1">
        <v>4</v>
      </c>
      <c r="D6" s="1" t="s">
        <v>20</v>
      </c>
      <c r="E6" s="22" t="s">
        <v>22</v>
      </c>
      <c r="F6" s="22"/>
      <c r="G6" s="22"/>
      <c r="H6" s="2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8" spans="2:22">
      <c r="C8" s="1" t="s">
        <v>0</v>
      </c>
      <c r="D8" s="1" t="s">
        <v>1</v>
      </c>
      <c r="E8" s="1" t="s">
        <v>2</v>
      </c>
      <c r="F8" s="1" t="s">
        <v>5</v>
      </c>
      <c r="G8" s="1" t="s">
        <v>6</v>
      </c>
      <c r="H8" s="1" t="s">
        <v>3</v>
      </c>
      <c r="I8" s="1" t="s">
        <v>4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S8" s="1" t="s">
        <v>16</v>
      </c>
      <c r="T8" s="1" t="s">
        <v>17</v>
      </c>
      <c r="U8" s="1" t="s">
        <v>18</v>
      </c>
      <c r="V8" s="1" t="s">
        <v>19</v>
      </c>
    </row>
    <row r="9" spans="2:22">
      <c r="B9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22" t="s">
        <v>36</v>
      </c>
      <c r="H9" s="22"/>
      <c r="I9" s="22"/>
      <c r="J9" s="22"/>
      <c r="K9" s="1" t="s">
        <v>37</v>
      </c>
      <c r="L9" s="1" t="s">
        <v>38</v>
      </c>
      <c r="M9" s="1" t="s">
        <v>39</v>
      </c>
      <c r="N9" s="1" t="s">
        <v>40</v>
      </c>
      <c r="O9" s="22" t="s">
        <v>41</v>
      </c>
      <c r="P9" s="22"/>
      <c r="Q9" s="22"/>
      <c r="R9" s="22"/>
      <c r="S9" s="1" t="s">
        <v>42</v>
      </c>
      <c r="T9" s="1" t="s">
        <v>43</v>
      </c>
      <c r="U9" s="1" t="s">
        <v>44</v>
      </c>
      <c r="V9" s="1" t="s">
        <v>45</v>
      </c>
    </row>
  </sheetData>
  <mergeCells count="6">
    <mergeCell ref="G9:J9"/>
    <mergeCell ref="O9:R9"/>
    <mergeCell ref="E3:T3"/>
    <mergeCell ref="E4:T4"/>
    <mergeCell ref="E5:H5"/>
    <mergeCell ref="E6:H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"/>
  <sheetViews>
    <sheetView topLeftCell="F1" workbookViewId="0">
      <selection activeCell="B2" sqref="B2:V3"/>
    </sheetView>
  </sheetViews>
  <sheetFormatPr defaultRowHeight="13.5"/>
  <cols>
    <col min="2" max="2" width="12.75" bestFit="1" customWidth="1"/>
    <col min="3" max="3" width="19.25" bestFit="1" customWidth="1"/>
    <col min="4" max="4" width="14.125" bestFit="1" customWidth="1"/>
    <col min="5" max="5" width="24.625" bestFit="1" customWidth="1"/>
    <col min="6" max="6" width="28" bestFit="1" customWidth="1"/>
    <col min="7" max="10" width="6.125" customWidth="1"/>
    <col min="11" max="11" width="12.75" bestFit="1" customWidth="1"/>
    <col min="12" max="12" width="15" bestFit="1" customWidth="1"/>
    <col min="13" max="13" width="30" bestFit="1" customWidth="1"/>
    <col min="14" max="14" width="15.875" bestFit="1" customWidth="1"/>
    <col min="15" max="18" width="4.375" bestFit="1" customWidth="1"/>
    <col min="19" max="19" width="24.375" bestFit="1" customWidth="1"/>
    <col min="20" max="21" width="14.25" bestFit="1" customWidth="1"/>
    <col min="22" max="22" width="20.875" bestFit="1" customWidth="1"/>
  </cols>
  <sheetData>
    <row r="2" spans="2:22">
      <c r="C2" s="1" t="s">
        <v>0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2:22">
      <c r="B3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22" t="s">
        <v>36</v>
      </c>
      <c r="H3" s="22"/>
      <c r="I3" s="22"/>
      <c r="J3" s="22"/>
      <c r="K3" s="1" t="s">
        <v>37</v>
      </c>
      <c r="L3" s="1" t="s">
        <v>38</v>
      </c>
      <c r="M3" s="1" t="s">
        <v>39</v>
      </c>
      <c r="N3" s="1" t="s">
        <v>40</v>
      </c>
      <c r="O3" s="22" t="s">
        <v>41</v>
      </c>
      <c r="P3" s="22"/>
      <c r="Q3" s="22"/>
      <c r="R3" s="22"/>
      <c r="S3" s="1" t="s">
        <v>42</v>
      </c>
      <c r="T3" s="1" t="s">
        <v>43</v>
      </c>
      <c r="U3" s="1" t="s">
        <v>44</v>
      </c>
      <c r="V3" s="1" t="s">
        <v>45</v>
      </c>
    </row>
  </sheetData>
  <mergeCells count="2">
    <mergeCell ref="G3:J3"/>
    <mergeCell ref="O3:R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Charge data</vt:lpstr>
      <vt:lpstr>Sheet1</vt:lpstr>
      <vt:lpstr>time-old</vt:lpstr>
      <vt:lpstr>Responses</vt:lpstr>
      <vt:lpstr>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Herrmann</dc:creator>
  <cp:lastModifiedBy>Windows 用户</cp:lastModifiedBy>
  <dcterms:created xsi:type="dcterms:W3CDTF">2020-04-24T14:01:04Z</dcterms:created>
  <dcterms:modified xsi:type="dcterms:W3CDTF">2024-07-19T10:01:59Z</dcterms:modified>
</cp:coreProperties>
</file>